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<sst xmlns="http://schemas.openxmlformats.org/spreadsheetml/2006/main" count="157" uniqueCount="44">
  <si>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</si>
  <si>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</si>
  <si>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</si>
  <si>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</si>
  <si>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</si>
  <si>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</si>
  <si>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</si>
  <si>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</si>
  <si>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</si>
  <si>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</si>
  <si>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</si>
  <si>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</si>
  <si>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</si>
  <si>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</si>
  <si>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</si>
  <si>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</si>
  <si>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</si>
  <si>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</si>
  <si>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</si>
  <si>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</si>
  <si>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</si>
  <si>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</si>
  <si>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</si>
  <si>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</si>
  <si>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</si>
  <si>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</si>
  <si>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</si>
  <si>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</si>
  <si>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</si>
  <si>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</si>
  <si>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</si>
  <si>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</si>
  <si>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</si>
  <si>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</si>
  <si>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</si>
  <si>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</si>
  <si>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</si>
  <si>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</si>
  <si>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</si>
  <si>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</si>
  <si>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</si>
  <si>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STAR AIR</t>
  </si>
  <si>
    <t>2026</t>
  </si>
  <si>
    <t>SOURCE:- ICAO ATR FORM A FURNISHED BY STAR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</si>
</sst>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9" transitionEvaluation="1" transitionEntry="1"/>
  <dimension ref="A1:Q494"/>
  <sheetViews>
    <sheetView showGridLines="0" tabSelected="1" view="pageBreakPreview" topLeftCell="A69" zoomScaleNormal="85" zoomScaleSheetLayoutView="100" workbookViewId="0">
      <selection activeCell="P16" sqref="P16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1618</v>
      </c>
      <c r="C4" s="21">
        <v>2063.6666666666702</v>
      </c>
      <c r="D4" s="22">
        <v>879.76</v>
      </c>
      <c r="E4" s="23">
        <v>97198</v>
      </c>
      <c r="F4" s="21">
        <v>56163.341</v>
      </c>
      <c r="G4" s="21">
        <v>72264.063999999998</v>
      </c>
      <c r="H4" s="25">
        <v>77.72</v>
      </c>
      <c r="I4" s="26">
        <v>0</v>
      </c>
      <c r="J4" s="27">
        <v>0</v>
      </c>
      <c r="K4" s="25">
        <v>0</v>
      </c>
      <c r="L4" s="26">
        <v>5054.7006899999997</v>
      </c>
      <c r="M4" s="27">
        <v>0</v>
      </c>
      <c r="N4" s="27">
        <v>0</v>
      </c>
      <c r="O4" s="25">
        <v>5054.7006899999997</v>
      </c>
      <c r="P4" s="27">
        <v>6503.7657600000002</v>
      </c>
      <c r="Q4" s="25">
        <v>77.72</v>
      </c>
    </row>
    <row r="5" spans="1:17" ht="23.1" customHeight="1" x14ac:dyDescent="0.25">
      <c r="A5" s="43" t="s">
        <v>20</v>
      </c>
      <c r="B5" s="64">
        <v>1250</v>
      </c>
      <c r="C5" s="64">
        <v>1599.166667</v>
      </c>
      <c r="D5" s="53">
        <v>702.47500000000002</v>
      </c>
      <c r="E5" s="75">
        <v>77261</v>
      </c>
      <c r="F5" s="64">
        <v>46840.264000000003</v>
      </c>
      <c r="G5" s="64">
        <v>59249.008000000002</v>
      </c>
      <c r="H5" s="84">
        <v>79.06</v>
      </c>
      <c r="I5" s="93">
        <v>0</v>
      </c>
      <c r="J5" s="102">
        <v>0</v>
      </c>
      <c r="K5" s="84">
        <v>0</v>
      </c>
      <c r="L5" s="93">
        <v>4215.6237600000004</v>
      </c>
      <c r="M5" s="102">
        <v>0</v>
      </c>
      <c r="N5" s="102">
        <v>0</v>
      </c>
      <c r="O5" s="84">
        <v>4215.6237600000004</v>
      </c>
      <c r="P5" s="102">
        <v>5332.4107199999999</v>
      </c>
      <c r="Q5" s="84">
        <v>79.06</v>
      </c>
    </row>
    <row r="6" spans="1:17" ht="23.1" customHeight="1" x14ac:dyDescent="0.25">
      <c r="A6" s="45" t="s">
        <v>21</v>
      </c>
      <c r="B6" s="29">
        <v>1477</v>
      </c>
      <c r="C6" s="29">
        <v>1901</v>
      </c>
      <c r="D6" s="28">
        <v>811.12199999999996</v>
      </c>
      <c r="E6" s="30">
        <v>78549</v>
      </c>
      <c r="F6" s="29">
        <v>47210</v>
      </c>
      <c r="G6" s="29">
        <v>67759</v>
      </c>
      <c r="H6" s="31">
        <v>69.67</v>
      </c>
      <c r="I6" s="32">
        <v>0</v>
      </c>
      <c r="J6" s="33">
        <v>0</v>
      </c>
      <c r="K6" s="31">
        <v>0</v>
      </c>
      <c r="L6" s="32">
        <v>4249</v>
      </c>
      <c r="M6" s="33">
        <v>0</v>
      </c>
      <c r="N6" s="33">
        <v>0</v>
      </c>
      <c r="O6" s="31">
        <v>4249</v>
      </c>
      <c r="P6" s="33">
        <v>6096</v>
      </c>
      <c r="Q6" s="31">
        <v>69.7</v>
      </c>
    </row>
    <row r="7" spans="1:17" ht="23.1" customHeight="1" x14ac:dyDescent="0.25">
      <c r="A7" s="43" t="s">
        <v>22</v>
      </c>
      <c r="B7" s="64">
        <v>1444</v>
      </c>
      <c r="C7" s="64">
        <v>1819</v>
      </c>
      <c r="D7" s="53">
        <v>764.78499999999997</v>
      </c>
      <c r="E7" s="75">
        <v>77772</v>
      </c>
      <c r="F7" s="64">
        <v>46113.22352</v>
      </c>
      <c r="G7" s="64">
        <v>63814.864000000001</v>
      </c>
      <c r="H7" s="84">
        <v>72.260000000000005</v>
      </c>
      <c r="I7" s="93">
        <v>0</v>
      </c>
      <c r="J7" s="102">
        <v>0</v>
      </c>
      <c r="K7" s="84">
        <v>0</v>
      </c>
      <c r="L7" s="93">
        <v>4150.1901168000004</v>
      </c>
      <c r="M7" s="102">
        <v>0</v>
      </c>
      <c r="N7" s="102">
        <v>0</v>
      </c>
      <c r="O7" s="84">
        <v>4150.1901168000004</v>
      </c>
      <c r="P7" s="102">
        <v>5743.3377600000003</v>
      </c>
      <c r="Q7" s="84">
        <v>72.260000000000005</v>
      </c>
    </row>
    <row r="8" spans="1:17" ht="30" customHeight="1" x14ac:dyDescent="0.25">
      <c r="A8" s="45" t="s">
        <v>23</v>
      </c>
      <c r="B8" s="29">
        <v>1432</v>
      </c>
      <c r="C8" s="29">
        <v>1791.75</v>
      </c>
      <c r="D8" s="28">
        <v>735.529</v>
      </c>
      <c r="E8" s="30">
        <v>82996</v>
      </c>
      <c r="F8" s="29">
        <v>46605.468000000001</v>
      </c>
      <c r="G8" s="29">
        <v>61260.472000000002</v>
      </c>
      <c r="H8" s="31">
        <v>76.08</v>
      </c>
      <c r="I8" s="32">
        <v>0</v>
      </c>
      <c r="J8" s="33">
        <v>0</v>
      </c>
      <c r="K8" s="31">
        <v>0</v>
      </c>
      <c r="L8" s="32">
        <v>4194.4921199999999</v>
      </c>
      <c r="M8" s="33">
        <v>0</v>
      </c>
      <c r="N8" s="33">
        <v>0</v>
      </c>
      <c r="O8" s="31">
        <v>4194.4921199999999</v>
      </c>
      <c r="P8" s="33">
        <v>5513.4424799999997</v>
      </c>
      <c r="Q8" s="31">
        <v>76.08</v>
      </c>
    </row>
    <row r="9" spans="1:17" ht="23.1" customHeight="1" x14ac:dyDescent="0.25">
      <c r="A9" s="43" t="s">
        <v>39</v>
      </c>
      <c r="B9" s="64">
        <v>1560</v>
      </c>
      <c r="C9" s="64">
        <v>1976.25</v>
      </c>
      <c r="D9" s="53">
        <v>814.83600000000001</v>
      </c>
      <c r="E9" s="75">
        <v>89006</v>
      </c>
      <c r="F9" s="64">
        <v>50625</v>
      </c>
      <c r="G9" s="64">
        <v>67497</v>
      </c>
      <c r="H9" s="84">
        <v>75</v>
      </c>
      <c r="I9" s="93">
        <v>0</v>
      </c>
      <c r="J9" s="102">
        <v>0</v>
      </c>
      <c r="K9" s="84">
        <v>0</v>
      </c>
      <c r="L9" s="93">
        <v>4556.3</v>
      </c>
      <c r="M9" s="102">
        <v>0</v>
      </c>
      <c r="N9" s="102">
        <v>0</v>
      </c>
      <c r="O9" s="84">
        <v>4556.3</v>
      </c>
      <c r="P9" s="102">
        <v>6074.73</v>
      </c>
      <c r="Q9" s="84">
        <v>75</v>
      </c>
    </row>
    <row r="10" spans="1:17" ht="23.1" customHeight="1" x14ac:dyDescent="0.25">
      <c r="A10" s="45" t="s">
        <v>24</v>
      </c>
      <c r="B10" s="29">
        <v>1459</v>
      </c>
      <c r="C10" s="29">
        <v>1887.833333</v>
      </c>
      <c r="D10" s="28">
        <v>787.59100000000001</v>
      </c>
      <c r="E10" s="30">
        <v>83018</v>
      </c>
      <c r="F10" s="29">
        <v>48665</v>
      </c>
      <c r="G10" s="29">
        <v>65454</v>
      </c>
      <c r="H10" s="31">
        <v>74.349999999999994</v>
      </c>
      <c r="I10" s="32">
        <v>0</v>
      </c>
      <c r="J10" s="33">
        <v>0</v>
      </c>
      <c r="K10" s="31">
        <v>0</v>
      </c>
      <c r="L10" s="32">
        <v>4379.8599999999997</v>
      </c>
      <c r="M10" s="33">
        <v>0</v>
      </c>
      <c r="N10" s="33">
        <v>0</v>
      </c>
      <c r="O10" s="31">
        <v>4379.8599999999997</v>
      </c>
      <c r="P10" s="33">
        <v>5890.86</v>
      </c>
      <c r="Q10" s="31">
        <v>74.349999999999994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10240</v>
      </c>
      <c r="C16" s="36">
        <f t="shared" si="0"/>
        <v>13038.66666666667</v>
      </c>
      <c r="D16" s="36">
        <f t="shared" si="0"/>
        <v>5496.098</v>
      </c>
      <c r="E16" s="36">
        <f t="shared" si="0"/>
        <v>585800</v>
      </c>
      <c r="F16" s="36">
        <f t="shared" si="0"/>
        <v>342222.29651999997</v>
      </c>
      <c r="G16" s="36">
        <f t="shared" si="0"/>
        <v>457298.408</v>
      </c>
      <c r="H16" s="37">
        <f>IFERROR(F16/G16*100,"")</f>
        <v>74.835663219715371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30800.166686799999</v>
      </c>
      <c r="M16" s="37">
        <f t="shared" si="1"/>
        <v>0</v>
      </c>
      <c r="N16" s="37">
        <f t="shared" si="1"/>
        <v>0</v>
      </c>
      <c r="O16" s="37">
        <f t="shared" si="1"/>
        <v>30800.166686799999</v>
      </c>
      <c r="P16" s="38">
        <f t="shared" si="1"/>
        <v>41154.546719999998</v>
      </c>
      <c r="Q16" s="38">
        <f>IFERROR(O16/P16*100,"")</f>
        <v>74.840252515360476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/>
      <c r="C43" s="65"/>
      <c r="D43" s="66"/>
      <c r="E43" s="63"/>
      <c r="F43" s="65"/>
      <c r="G43" s="65"/>
      <c r="H43" s="67"/>
      <c r="I43" s="68"/>
      <c r="J43" s="69"/>
      <c r="K43" s="67"/>
      <c r="L43" s="68"/>
      <c r="M43" s="69"/>
      <c r="N43" s="69"/>
      <c r="O43" s="67"/>
      <c r="P43" s="68"/>
      <c r="Q43" s="67"/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/>
      <c r="C46" s="115"/>
      <c r="D46" s="111"/>
      <c r="E46" s="109"/>
      <c r="F46" s="110"/>
      <c r="G46" s="110"/>
      <c r="H46" s="112"/>
      <c r="I46" s="113"/>
      <c r="J46" s="114"/>
      <c r="K46" s="112"/>
      <c r="L46" s="113"/>
      <c r="M46" s="114"/>
      <c r="N46" s="114"/>
      <c r="O46" s="112"/>
      <c r="P46" s="113"/>
      <c r="Q46" s="112"/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0</v>
      </c>
      <c r="C54" s="123">
        <f t="shared" si="4"/>
        <v>0</v>
      </c>
      <c r="D54" s="123">
        <f t="shared" si="4"/>
        <v>0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0</v>
      </c>
      <c r="M54" s="124">
        <f t="shared" si="5"/>
        <v>0</v>
      </c>
      <c r="N54" s="124">
        <f t="shared" si="5"/>
        <v>0</v>
      </c>
      <c r="O54" s="124">
        <f t="shared" si="5"/>
        <v>0</v>
      </c>
      <c r="P54" s="125">
        <f t="shared" si="5"/>
        <v>0</v>
      </c>
      <c r="Q54" s="124" t="str">
        <f>IFERROR(O54/P54*100,"")</f>
        <v/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2026-08-13T07:31:01Z</dcterms:modified>
</cp:coreProperties>
</file>